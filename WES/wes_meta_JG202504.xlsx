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bg/Dropbox/shared_leif/Jacob/metadata/"/>
    </mc:Choice>
  </mc:AlternateContent>
  <xr:revisionPtr revIDLastSave="3" documentId="13_ncr:1_{A9707530-62DB-1C4D-9087-3472F788C5B6}" xr6:coauthVersionLast="47" xr6:coauthVersionMax="47" xr10:uidLastSave="{C85FEA7E-D81A-42B2-96A0-183C1B14CD2B}"/>
  <bookViews>
    <workbookView xWindow="15720" yWindow="760" windowWidth="13660" windowHeight="17600" xr2:uid="{65879050-0DFB-A647-966E-AEEB6F4E6E9C}"/>
  </bookViews>
  <sheets>
    <sheet name="All samp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E4" i="1"/>
  <c r="E5" i="1"/>
  <c r="E6" i="1"/>
  <c r="E7" i="1"/>
  <c r="E8" i="1"/>
  <c r="E13" i="1"/>
  <c r="E14" i="1"/>
  <c r="E17" i="1"/>
  <c r="E19" i="1"/>
  <c r="E21" i="1"/>
  <c r="E22" i="1"/>
  <c r="E25" i="1"/>
  <c r="E33" i="1"/>
  <c r="E34" i="1"/>
  <c r="E39" i="1"/>
  <c r="E46" i="1"/>
  <c r="E47" i="1"/>
  <c r="E48" i="1"/>
  <c r="E51" i="1"/>
  <c r="D3" i="1"/>
  <c r="D4" i="1"/>
  <c r="D5" i="1"/>
  <c r="D6" i="1"/>
  <c r="D7" i="1"/>
  <c r="D8" i="1"/>
  <c r="D9" i="1"/>
  <c r="D11" i="1"/>
  <c r="D12" i="1"/>
  <c r="D14" i="1"/>
  <c r="D15" i="1"/>
  <c r="D16" i="1"/>
  <c r="D17" i="1"/>
  <c r="D18" i="1"/>
  <c r="D19" i="1"/>
  <c r="D21" i="1"/>
  <c r="D22" i="1"/>
  <c r="D25" i="1"/>
  <c r="D27" i="1"/>
  <c r="D28" i="1"/>
  <c r="D29" i="1"/>
  <c r="D30" i="1"/>
  <c r="D32" i="1"/>
  <c r="D33" i="1"/>
  <c r="D34" i="1"/>
  <c r="D38" i="1"/>
  <c r="D39" i="1"/>
  <c r="D40" i="1"/>
  <c r="D41" i="1"/>
  <c r="D42" i="1"/>
  <c r="D43" i="1"/>
  <c r="D45" i="1"/>
  <c r="D46" i="1"/>
  <c r="D47" i="1"/>
  <c r="D48" i="1"/>
  <c r="D51" i="1"/>
  <c r="D2" i="1"/>
</calcChain>
</file>

<file path=xl/sharedStrings.xml><?xml version="1.0" encoding="utf-8"?>
<sst xmlns="http://schemas.openxmlformats.org/spreadsheetml/2006/main" count="555" uniqueCount="385">
  <si>
    <t>original name</t>
  </si>
  <si>
    <t>new name</t>
  </si>
  <si>
    <t>original index</t>
  </si>
  <si>
    <t>wes pre plotname</t>
  </si>
  <si>
    <t>wes post plotname</t>
  </si>
  <si>
    <t>wes tumor pre</t>
  </si>
  <si>
    <t>wes tumor sg</t>
  </si>
  <si>
    <t>wes extra FFT</t>
  </si>
  <si>
    <t>wes normal</t>
  </si>
  <si>
    <t>post sg response</t>
  </si>
  <si>
    <t>final response(surgery)</t>
  </si>
  <si>
    <t>additional treatment</t>
  </si>
  <si>
    <t>adjuvant treatment?</t>
  </si>
  <si>
    <t>old wes tumor pre</t>
  </si>
  <si>
    <t>old wes tumor sg</t>
  </si>
  <si>
    <t>old wes normal</t>
  </si>
  <si>
    <t>BIDMC-01</t>
  </si>
  <si>
    <t>BIDMC1</t>
  </si>
  <si>
    <t>BIDMC1_pre</t>
  </si>
  <si>
    <t>BIDMC1_B</t>
  </si>
  <si>
    <t>RD</t>
  </si>
  <si>
    <t>RCB-I</t>
  </si>
  <si>
    <t>No additional NAC</t>
  </si>
  <si>
    <t>Adjuvant ddAC</t>
  </si>
  <si>
    <t>BIDMC01</t>
  </si>
  <si>
    <t>BIDMC-02</t>
  </si>
  <si>
    <t>BIDMC2</t>
  </si>
  <si>
    <t>BIDMC2_pre</t>
  </si>
  <si>
    <t>BIDMC2_B</t>
  </si>
  <si>
    <t>RCB-II</t>
  </si>
  <si>
    <t>Additional NAC with AC</t>
  </si>
  <si>
    <t>Adjuvant radiation and capecitabine</t>
  </si>
  <si>
    <t>BIDMC02</t>
  </si>
  <si>
    <t>BIDMC 03</t>
  </si>
  <si>
    <t>BIDMC3</t>
  </si>
  <si>
    <t>BIDMC3_pre</t>
  </si>
  <si>
    <t>BIDMC3_post</t>
  </si>
  <si>
    <t>BIDMC3_B</t>
  </si>
  <si>
    <t>pCR</t>
  </si>
  <si>
    <t>Adjuvant Taxotere/Cytoxan x 4 cycles and radiation</t>
  </si>
  <si>
    <t>BIDMC3POST</t>
  </si>
  <si>
    <t>BIDMC03</t>
  </si>
  <si>
    <t>BIDMC-04</t>
  </si>
  <si>
    <t>BIDMC4</t>
  </si>
  <si>
    <t>BIDMC4_pre</t>
  </si>
  <si>
    <t>BIDMC4_post</t>
  </si>
  <si>
    <t>BIDMC4_B</t>
  </si>
  <si>
    <t>Additional NAC - ddAC</t>
  </si>
  <si>
    <t>Adjuvant weekly taxol x12, q3wk Herceptin x 1 yr followed by radiation</t>
  </si>
  <si>
    <t>BIDMC4RD</t>
  </si>
  <si>
    <t>BIDMC04</t>
  </si>
  <si>
    <t>BIDMC 05</t>
  </si>
  <si>
    <t>BIDMC5</t>
  </si>
  <si>
    <t>BIDMC5_pre</t>
  </si>
  <si>
    <t>BIDMC5_post</t>
  </si>
  <si>
    <t>BIDMC5_B</t>
  </si>
  <si>
    <r>
      <t> </t>
    </r>
    <r>
      <rPr>
        <sz val="11"/>
        <color rgb="FF000000"/>
        <rFont val="Calibri"/>
        <family val="2"/>
        <scheme val="minor"/>
      </rPr>
      <t>Adjuvant carbo/taxol + pembro x 12wks, radiation and capecitabine</t>
    </r>
  </si>
  <si>
    <t>BIDMC5RD</t>
  </si>
  <si>
    <t>BIDMC05</t>
  </si>
  <si>
    <t>BIDMC-06</t>
  </si>
  <si>
    <t>BIDMC6</t>
  </si>
  <si>
    <t>BIDMC6_pre</t>
  </si>
  <si>
    <t>BIDMC6_post</t>
  </si>
  <si>
    <t>BIDMC6_B</t>
  </si>
  <si>
    <t>No additional neoadjuvant chemo</t>
  </si>
  <si>
    <t>Adjuvant Taxotere/cytoxan</t>
  </si>
  <si>
    <t>BIDMC6POST</t>
  </si>
  <si>
    <t>BIDMC06</t>
  </si>
  <si>
    <t>BIDMC-07</t>
  </si>
  <si>
    <t>BIDMC7</t>
  </si>
  <si>
    <t>BIDMC7_pre</t>
  </si>
  <si>
    <t>BIDMC7_post</t>
  </si>
  <si>
    <t>BIDMC7_B</t>
  </si>
  <si>
    <t>Adjuvant carbo/taxol</t>
  </si>
  <si>
    <t>BIDMC7RD</t>
  </si>
  <si>
    <t>BIDMC07</t>
  </si>
  <si>
    <t>BIDMC-08</t>
  </si>
  <si>
    <t>BIDMC8</t>
  </si>
  <si>
    <t>BIDMC8_pre</t>
  </si>
  <si>
    <t>BIDMC8_B</t>
  </si>
  <si>
    <t>Adjuvant Taxotere/Cytoxan x 4 cycles</t>
  </si>
  <si>
    <t>BIDMC08</t>
  </si>
  <si>
    <t>DFCI-01</t>
  </si>
  <si>
    <t>DFC1</t>
  </si>
  <si>
    <t>P02R</t>
  </si>
  <si>
    <t>P02T</t>
  </si>
  <si>
    <t>DFC1_pre</t>
  </si>
  <si>
    <t>DFC1_post</t>
  </si>
  <si>
    <t>DFC1_pre_FFT</t>
  </si>
  <si>
    <t>DFC1_B</t>
  </si>
  <si>
    <t>Additional neoadjuvant carbo/taxol x 2 cycles</t>
  </si>
  <si>
    <r>
      <t> </t>
    </r>
    <r>
      <rPr>
        <sz val="11"/>
        <color rgb="FF000000"/>
        <rFont val="Calibri"/>
        <family val="2"/>
        <scheme val="minor"/>
      </rPr>
      <t>Adjuvant radiation, Adjuvant capecitabine briefly- d/ced due to coronary vasospasm</t>
    </r>
  </si>
  <si>
    <t>DFC1RD ***</t>
  </si>
  <si>
    <t>DFC01</t>
  </si>
  <si>
    <t>DFCI-010</t>
  </si>
  <si>
    <t>DFC10</t>
  </si>
  <si>
    <t>DFC10_pre</t>
  </si>
  <si>
    <t>DFC10_B</t>
  </si>
  <si>
    <t>Additional neoadjuvant ddAC  (refused 2nd biopsy)</t>
  </si>
  <si>
    <t>DFC10_T</t>
  </si>
  <si>
    <t>DFCI-011</t>
  </si>
  <si>
    <t>DFC11</t>
  </si>
  <si>
    <t>DFC11_pre</t>
  </si>
  <si>
    <t>DFC11_B</t>
  </si>
  <si>
    <t>Adjuvant TC, radiation</t>
  </si>
  <si>
    <t>DFC11_T</t>
  </si>
  <si>
    <t>DFCI_11</t>
  </si>
  <si>
    <t>DFCI-012</t>
  </si>
  <si>
    <t>DFC12</t>
  </si>
  <si>
    <t>DFC12_post</t>
  </si>
  <si>
    <t>DFC12_B</t>
  </si>
  <si>
    <t>Additional neoadjuvant ddAC</t>
  </si>
  <si>
    <t>Adjuvant radiation</t>
  </si>
  <si>
    <t>DFC12RD</t>
  </si>
  <si>
    <t>DFCI-013</t>
  </si>
  <si>
    <t>DFC13</t>
  </si>
  <si>
    <t>DFC13_pre</t>
  </si>
  <si>
    <t>DFC13_post</t>
  </si>
  <si>
    <t>DFC13_B</t>
  </si>
  <si>
    <t>DFC13_T</t>
  </si>
  <si>
    <t>DFC13RD</t>
  </si>
  <si>
    <t>DFCI-014</t>
  </si>
  <si>
    <t>DFC14</t>
  </si>
  <si>
    <t>DFC14_pre</t>
  </si>
  <si>
    <t>DFC14_B</t>
  </si>
  <si>
    <t>Adjuvant taxol/carboplatin</t>
  </si>
  <si>
    <t>DFC14_T</t>
  </si>
  <si>
    <t>DFCI-015</t>
  </si>
  <si>
    <t>DFC15</t>
  </si>
  <si>
    <t>DFC15_pre_FFT</t>
  </si>
  <si>
    <t>DFC15_B</t>
  </si>
  <si>
    <t>DFCI15</t>
  </si>
  <si>
    <t>DFCI-016</t>
  </si>
  <si>
    <t>DFC16</t>
  </si>
  <si>
    <t>DFC16_pre</t>
  </si>
  <si>
    <t>DFC16_post</t>
  </si>
  <si>
    <t>DFC16_B</t>
  </si>
  <si>
    <t>Adjuvant TC</t>
  </si>
  <si>
    <t>DFC16RD</t>
  </si>
  <si>
    <t>DFCI16</t>
  </si>
  <si>
    <t>DFCI-17</t>
  </si>
  <si>
    <t>DFC17</t>
  </si>
  <si>
    <t>DFC17_pre</t>
  </si>
  <si>
    <t>DFC17_B</t>
  </si>
  <si>
    <t>DFCI17</t>
  </si>
  <si>
    <t>DFCI-19</t>
  </si>
  <si>
    <t>DFC19</t>
  </si>
  <si>
    <t>DFC19_pre</t>
  </si>
  <si>
    <t>DFC19_post</t>
  </si>
  <si>
    <t>DFC19_B</t>
  </si>
  <si>
    <t>DFC19POST</t>
  </si>
  <si>
    <t>DFCI19</t>
  </si>
  <si>
    <t>DFCI-02</t>
  </si>
  <si>
    <t>DFC2</t>
  </si>
  <si>
    <t>P07R</t>
  </si>
  <si>
    <t>P07T</t>
  </si>
  <si>
    <t>DFC2_pre</t>
  </si>
  <si>
    <t>DFC2_post</t>
  </si>
  <si>
    <t>DFC2_B</t>
  </si>
  <si>
    <t>Adjuvant TC locally</t>
  </si>
  <si>
    <t>DFC2RD</t>
  </si>
  <si>
    <t>DFC07</t>
  </si>
  <si>
    <t>DFCI-20</t>
  </si>
  <si>
    <t>DFC20</t>
  </si>
  <si>
    <t>DFC20_pre</t>
  </si>
  <si>
    <t>DFC20_post</t>
  </si>
  <si>
    <t>DFC20_B</t>
  </si>
  <si>
    <t>DFC20RD</t>
  </si>
  <si>
    <t>DFCI20</t>
  </si>
  <si>
    <t>DFCI-23</t>
  </si>
  <si>
    <t>DFC23</t>
  </si>
  <si>
    <t>DFC23_pre</t>
  </si>
  <si>
    <t>DFC23_post</t>
  </si>
  <si>
    <t>DFC23_B</t>
  </si>
  <si>
    <t>Additional neoadjuvant chemo (ACT)</t>
  </si>
  <si>
    <t>Adjuvant capecitabine</t>
  </si>
  <si>
    <t>DFC23RD</t>
  </si>
  <si>
    <t>DFCI23</t>
  </si>
  <si>
    <t>DFCI-24</t>
  </si>
  <si>
    <t>DFC24</t>
  </si>
  <si>
    <t>Adjuvant AC</t>
  </si>
  <si>
    <t>DFCI-03</t>
  </si>
  <si>
    <t>DFC3</t>
  </si>
  <si>
    <t>Adjuvant AC x 4 cycles</t>
  </si>
  <si>
    <t>DFCI-04</t>
  </si>
  <si>
    <t>DFC4</t>
  </si>
  <si>
    <t>DFC4_pre_FFT</t>
  </si>
  <si>
    <t>DFC4_post</t>
  </si>
  <si>
    <t>DFC4_B</t>
  </si>
  <si>
    <t>Additional neoadjuvant AC X 4 cycles, taxol x 2 cycles</t>
  </si>
  <si>
    <t>Adjuvant radiation, Adjuvant 18-078 – Cyclophosphamide (C1 only and FR alpha peptide vaccine or placebo + GCSF</t>
  </si>
  <si>
    <t>DFC4RD</t>
  </si>
  <si>
    <t>DFC11_B_unknown</t>
  </si>
  <si>
    <t>DFCI-05</t>
  </si>
  <si>
    <t>DFC5</t>
  </si>
  <si>
    <t>Additional neoadjuvant AC x 4 cycles  (refused 2nd biopsy)</t>
  </si>
  <si>
    <t>DFCI-06</t>
  </si>
  <si>
    <t>DFC6</t>
  </si>
  <si>
    <t>DFC6_pre</t>
  </si>
  <si>
    <t>DFC6_B</t>
  </si>
  <si>
    <t>Adjuvant Taxol/carboplatin, radiation</t>
  </si>
  <si>
    <t>DFC06</t>
  </si>
  <si>
    <t>DFCI-07</t>
  </si>
  <si>
    <t>DFC7</t>
  </si>
  <si>
    <t>DFC7_pre</t>
  </si>
  <si>
    <t>DFC7_pre_FFT</t>
  </si>
  <si>
    <t>DFC7_B</t>
  </si>
  <si>
    <t>Additional neoadjuvant carbo/taxol locally</t>
  </si>
  <si>
    <t>DFCI07</t>
  </si>
  <si>
    <t>DFCI-08</t>
  </si>
  <si>
    <t>DFC8</t>
  </si>
  <si>
    <t>DFC8_pre_FFT</t>
  </si>
  <si>
    <t>DFC8_B</t>
  </si>
  <si>
    <t>DFC08</t>
  </si>
  <si>
    <t>DFCI-09</t>
  </si>
  <si>
    <t>DFC9</t>
  </si>
  <si>
    <t>DFC9_pre</t>
  </si>
  <si>
    <t>DFC9_B</t>
  </si>
  <si>
    <t>RCB-III</t>
  </si>
  <si>
    <t xml:space="preserve">Adjuvant ddAC </t>
  </si>
  <si>
    <t>DFC9**</t>
  </si>
  <si>
    <t>DFCI09</t>
  </si>
  <si>
    <t>MGH-01</t>
  </si>
  <si>
    <t>MGH1</t>
  </si>
  <si>
    <t>Adjuvant TC x 4 cycles, radiation, tamoxifen</t>
  </si>
  <si>
    <t>MGH-010</t>
  </si>
  <si>
    <t>MGH10</t>
  </si>
  <si>
    <t>MGH10_pre</t>
  </si>
  <si>
    <t>MGH10_B</t>
  </si>
  <si>
    <r>
      <t>Additional neoadjuvant AC (refused 2</t>
    </r>
    <r>
      <rPr>
        <vertAlign val="superscript"/>
        <sz val="7.2"/>
        <color rgb="FF000000"/>
        <rFont val="Calibri"/>
        <family val="2"/>
        <scheme val="minor"/>
      </rPr>
      <t>nd</t>
    </r>
    <r>
      <rPr>
        <sz val="11"/>
        <color rgb="FF000000"/>
        <rFont val="Calibri"/>
        <family val="2"/>
        <scheme val="minor"/>
      </rPr>
      <t xml:space="preserve"> biopsy)</t>
    </r>
  </si>
  <si>
    <t>Adjuvant radiation, Adjuvant treatment with AC/pembrolizumab x4 cycles</t>
  </si>
  <si>
    <t>MGH10_T</t>
  </si>
  <si>
    <t>MGH-011</t>
  </si>
  <si>
    <t>MGH11</t>
  </si>
  <si>
    <t>MGH11_pre</t>
  </si>
  <si>
    <t>MGH11_post</t>
  </si>
  <si>
    <t>MGH11_B</t>
  </si>
  <si>
    <t>No Additional NAC (Minimal/no response after 2 cycles of SG)</t>
  </si>
  <si>
    <t>Adjuvant ddAC/T, radiation to follow, Adjuvant 19-055- PARPi/radiation, Adjuvant 18-078 – Cyclophosphamide (C1 only and FR alpha peptide vaccine or placebo + GCSF</t>
  </si>
  <si>
    <t>MGH11_T</t>
  </si>
  <si>
    <t>MGH11RD</t>
  </si>
  <si>
    <t>MGH-012</t>
  </si>
  <si>
    <t>MGH12</t>
  </si>
  <si>
    <t>MGH12_pre</t>
  </si>
  <si>
    <t>MGH12_post</t>
  </si>
  <si>
    <t>MGH12_B</t>
  </si>
  <si>
    <t>Additional Neoadjuvant carboplatin/taxotere</t>
  </si>
  <si>
    <t>Adjuvant Olaparib/pembro</t>
  </si>
  <si>
    <t>MGH12_T</t>
  </si>
  <si>
    <t>MGH12RD</t>
  </si>
  <si>
    <t>MGH-13</t>
  </si>
  <si>
    <t>MGH13</t>
  </si>
  <si>
    <t>MGH13_pre</t>
  </si>
  <si>
    <t>MGH13_B</t>
  </si>
  <si>
    <t>Adjuvant docetaxel/carboplatin</t>
  </si>
  <si>
    <t>MGH13_T</t>
  </si>
  <si>
    <t>MGH-02</t>
  </si>
  <si>
    <t>MGH2</t>
  </si>
  <si>
    <t>P03R</t>
  </si>
  <si>
    <t>MGH2_pre</t>
  </si>
  <si>
    <t>MGH2_B</t>
  </si>
  <si>
    <t xml:space="preserve">Additional neoadjuvant carbo/taxol x 4 cycles </t>
  </si>
  <si>
    <t>Adjuvant abraxane, radiation, niraparib, olaparib</t>
  </si>
  <si>
    <t>MGH02</t>
  </si>
  <si>
    <t>MGH-03</t>
  </si>
  <si>
    <t>MGH3</t>
  </si>
  <si>
    <t>P06R</t>
  </si>
  <si>
    <t>P06T</t>
  </si>
  <si>
    <t>MGH3_pre</t>
  </si>
  <si>
    <t>MGH3_post</t>
  </si>
  <si>
    <t>MGH3_B</t>
  </si>
  <si>
    <t>Adjuvant ddAC x 3 cycles</t>
  </si>
  <si>
    <t>MGH6RD</t>
  </si>
  <si>
    <t>MGH03</t>
  </si>
  <si>
    <t>(MGH-04)</t>
  </si>
  <si>
    <t>MGH4</t>
  </si>
  <si>
    <t>MGH4_pre</t>
  </si>
  <si>
    <t>MGH4_B</t>
  </si>
  <si>
    <t>Adjuvant carboplatin/taxotere and radiation, Adjuvant 18-078 – Cyclophosphamide (C1 only and FR alpha peptide vaccine or placebo + GCSF</t>
  </si>
  <si>
    <t>MGH04</t>
  </si>
  <si>
    <t>MGH-05</t>
  </si>
  <si>
    <t>MGH5</t>
  </si>
  <si>
    <t>MGH5_pre</t>
  </si>
  <si>
    <t>MGH5_post</t>
  </si>
  <si>
    <t>MGH5_B</t>
  </si>
  <si>
    <t>Additional NAC – Taxol/carboplatin</t>
  </si>
  <si>
    <t>MGH5RD</t>
  </si>
  <si>
    <t>MGH05</t>
  </si>
  <si>
    <t>MGH-06</t>
  </si>
  <si>
    <t>MGH6</t>
  </si>
  <si>
    <t>MGH6_pre</t>
  </si>
  <si>
    <t>MGH6_B</t>
  </si>
  <si>
    <t xml:space="preserve">Adjuvant radiation </t>
  </si>
  <si>
    <t>MGH06</t>
  </si>
  <si>
    <t>MGH-07</t>
  </si>
  <si>
    <t>MGH7</t>
  </si>
  <si>
    <t>MGH7_pre</t>
  </si>
  <si>
    <t>MGH7_B</t>
  </si>
  <si>
    <t>Adjuvant trastuzumab/carboplatin/taxotere x 2 cycles, radiation, Adjuvant 18-078 – Cyclophosphamide (C1 only and FR alpha peptide vaccine or placebo + GCSF</t>
  </si>
  <si>
    <t>MGH07</t>
  </si>
  <si>
    <t>MGH-08</t>
  </si>
  <si>
    <t>MGH8</t>
  </si>
  <si>
    <t>MGH8_pre</t>
  </si>
  <si>
    <t>MGH8_B</t>
  </si>
  <si>
    <t>Adjuvant carbo/taxotere x 4 cycles, radiation planned, Adjuvant 18-078 – Cyclophosphamide (C1 only and FR alpha peptide vaccine or placebo + GCSF</t>
  </si>
  <si>
    <t>MGH08</t>
  </si>
  <si>
    <t>MGH-09</t>
  </si>
  <si>
    <t>MGH9</t>
  </si>
  <si>
    <t>MGH9_pre</t>
  </si>
  <si>
    <t>MGH9_B</t>
  </si>
  <si>
    <t>Adjuvant taxotere/carboplatin x 4 cycles, referred to radiation, Adjuvant 18-078 – Cyclophosphamide (C1 only and FR alpha peptide vaccine or placebo + GCSF</t>
  </si>
  <si>
    <t>MGH09</t>
  </si>
  <si>
    <t>NSCC-01</t>
  </si>
  <si>
    <t>MGNS1</t>
  </si>
  <si>
    <t>Additional Neoadjuvant ddAC x 4 cycles, carbo/taxol/pembro</t>
  </si>
  <si>
    <t>Adjuvant pembro, capecitabine, radiation</t>
  </si>
  <si>
    <t>NSCC-002</t>
  </si>
  <si>
    <t>MGNS2</t>
  </si>
  <si>
    <t>MGNS2_pre</t>
  </si>
  <si>
    <t>MGNS2_B</t>
  </si>
  <si>
    <t>Additional neoadjuvant carbo/taxol/pembro x 4 cycles</t>
  </si>
  <si>
    <t>Adjuvant pembro, capecitabine &amp; radiation</t>
  </si>
  <si>
    <t>NSCC02</t>
  </si>
  <si>
    <t>MGNS02</t>
  </si>
  <si>
    <t>NSCC-04</t>
  </si>
  <si>
    <t>MGNS4</t>
  </si>
  <si>
    <t>MGNS4_pre</t>
  </si>
  <si>
    <t>MGNS4_post</t>
  </si>
  <si>
    <t>MGNS4_B</t>
  </si>
  <si>
    <t>Additional neoadjuvant carbo/taxol</t>
  </si>
  <si>
    <t>Adjuvant radiation, Adjuvant capecitabine</t>
  </si>
  <si>
    <t>MGNS4RD</t>
  </si>
  <si>
    <t>MGNS04</t>
  </si>
  <si>
    <t>NSCC-05</t>
  </si>
  <si>
    <t>MGNS5</t>
  </si>
  <si>
    <t>MGNS5_pre</t>
  </si>
  <si>
    <t>MGNS5_post</t>
  </si>
  <si>
    <t>MGNS5_B</t>
  </si>
  <si>
    <t>Additional NAC – docetaxel/cyclophosphamide</t>
  </si>
  <si>
    <r>
      <t> </t>
    </r>
    <r>
      <rPr>
        <sz val="11"/>
        <color rgb="FF000000"/>
        <rFont val="Calibri"/>
        <family val="2"/>
        <scheme val="minor"/>
      </rPr>
      <t>Adjuvant radiation</t>
    </r>
  </si>
  <si>
    <t>MGNS5POST</t>
  </si>
  <si>
    <t>NSCC05</t>
  </si>
  <si>
    <t>NSCC-06</t>
  </si>
  <si>
    <t>MGNS6</t>
  </si>
  <si>
    <t>MGNS6_pre</t>
  </si>
  <si>
    <t>MGNS6_post</t>
  </si>
  <si>
    <t>MGNS6_B</t>
  </si>
  <si>
    <t>No Additional NAC</t>
  </si>
  <si>
    <t>Adjuvant taxotere/Cytoxan x 4 cycles and radiation</t>
  </si>
  <si>
    <t>MGNS6RD</t>
  </si>
  <si>
    <t>MGNS06</t>
  </si>
  <si>
    <t>MG_NW_001</t>
  </si>
  <si>
    <t>NWH1</t>
  </si>
  <si>
    <t>P05R</t>
  </si>
  <si>
    <t>NWH1_pre</t>
  </si>
  <si>
    <t>NWH1_B</t>
  </si>
  <si>
    <t>Additional neoadjuvant AC</t>
  </si>
  <si>
    <t>NWH01</t>
  </si>
  <si>
    <t>MGNW-002</t>
  </si>
  <si>
    <t>NWH2</t>
  </si>
  <si>
    <t>P08R</t>
  </si>
  <si>
    <t>NWH2_pre_FFT</t>
  </si>
  <si>
    <t>NWH2_B</t>
  </si>
  <si>
    <t>Additional neoadjuvant Docetaxel/carboplatin x 4 cycles</t>
  </si>
  <si>
    <t>NWH02</t>
  </si>
  <si>
    <t>MGNW-003</t>
  </si>
  <si>
    <t>NWH3</t>
  </si>
  <si>
    <t>NWH3_pre</t>
  </si>
  <si>
    <t>NWH3_post</t>
  </si>
  <si>
    <t>NWH3_B</t>
  </si>
  <si>
    <t>Additional Neoadjuvant Docetaxel/carboplatin</t>
  </si>
  <si>
    <t>MGNW3</t>
  </si>
  <si>
    <t>MGNW3RD</t>
  </si>
  <si>
    <t>NWH03</t>
  </si>
  <si>
    <t>NOTES</t>
  </si>
  <si>
    <t>WES labels</t>
  </si>
  <si>
    <t>samples are fixed but are not parafin embedded</t>
  </si>
  <si>
    <t>Resequenced</t>
  </si>
  <si>
    <t>New</t>
  </si>
  <si>
    <t>Frozen</t>
  </si>
  <si>
    <t>corrected</t>
  </si>
  <si>
    <t>Too small</t>
  </si>
  <si>
    <t>**do not match each other or any other samples</t>
  </si>
  <si>
    <t>*** surigical sample</t>
  </si>
  <si>
    <t>Rename pending!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</si>
</sst>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Calibri (Body)"/>
    </font>
    <font>
      <sz val="6.95"/>
      <color rgb="FF000000"/>
      <name val="Times New Roman"/>
      <family val="1"/>
    </font>
    <font>
      <sz val="12"/>
      <color theme="1"/>
      <name val="Calibri (Body)"/>
    </font>
    <font>
      <sz val="12"/>
      <color rgb="FF00B0F0"/>
      <name val="Calibri (Body)"/>
    </font>
    <font>
      <sz val="12"/>
      <color theme="5"/>
      <name val="Calibri (Body)"/>
    </font>
    <font>
      <vertAlign val="superscript"/>
      <sz val="7.2"/>
      <color rgb="FF000000"/>
      <name val="Calibri"/>
      <family val="2"/>
      <scheme val="minor"/>
    </font>
    <font>
      <sz val="11"/>
      <color rgb="FF000000"/>
      <name val="Times"/>
      <family val="1"/>
    </font>
    <font>
      <sz val="12"/>
      <color rgb="FF00B0F0"/>
      <name val="Calibri"/>
      <family val="2"/>
      <scheme val="minor"/>
    </font>
    <font>
      <sz val="12"/>
      <color rgb="FF9543D6"/>
      <name val="Calibri"/>
      <family val="2"/>
      <scheme val="minor"/>
    </font>
    <font>
      <sz val="12"/>
      <color rgb="FF9543D6"/>
      <name val="Calibri (Body)"/>
    </font>
    <font>
      <sz val="12"/>
      <color rgb="FF00B05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54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0C8D-36D2-744A-9DB1-E6BCDF4F3B8B}">
  <dimension ref="A1:P61"/>
  <sheetViews>
    <sheetView tabSelected="1" zoomScale="120" zoomScaleNormal="120" workbookViewId="0">
      <pane xSplit="3" topLeftCell="M24" activePane="topRight" state="frozen"/>
      <selection pane="topRight" activeCell="A48" sqref="A48"/>
    </sheetView>
  </sheetViews>
  <sheetFormatPr defaultColWidth="11" defaultRowHeight="15.95"/>
  <cols>
    <col min="1" max="3" width="13.625" customWidth="1"/>
    <col min="4" max="4" width="16.125" customWidth="1"/>
    <col min="5" max="5" width="15.5" customWidth="1"/>
    <col min="6" max="9" width="13.625" customWidth="1"/>
    <col min="10" max="10" width="14.875" customWidth="1"/>
    <col min="11" max="11" width="20" customWidth="1"/>
    <col min="12" max="12" width="49.5" customWidth="1"/>
    <col min="13" max="13" width="65" customWidth="1"/>
    <col min="14" max="14" width="17.125" customWidth="1"/>
    <col min="15" max="15" width="16" customWidth="1"/>
    <col min="16" max="16" width="18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95" customHeight="1">
      <c r="A2" t="s">
        <v>16</v>
      </c>
      <c r="B2" t="s">
        <v>17</v>
      </c>
      <c r="C2">
        <v>34</v>
      </c>
      <c r="D2" t="str">
        <f>"P"&amp;C2&amp;"R"</f>
        <v>P34R</v>
      </c>
      <c r="F2" t="s">
        <v>18</v>
      </c>
      <c r="I2" t="s">
        <v>19</v>
      </c>
      <c r="J2" t="s">
        <v>20</v>
      </c>
      <c r="K2" t="s">
        <v>21</v>
      </c>
      <c r="L2" s="1" t="s">
        <v>22</v>
      </c>
      <c r="M2" s="1" t="s">
        <v>23</v>
      </c>
      <c r="N2" t="s">
        <v>17</v>
      </c>
      <c r="P2" t="s">
        <v>24</v>
      </c>
    </row>
    <row r="3" spans="1:16">
      <c r="A3" t="s">
        <v>25</v>
      </c>
      <c r="B3" t="s">
        <v>26</v>
      </c>
      <c r="C3">
        <v>37</v>
      </c>
      <c r="D3" t="str">
        <f t="shared" ref="D3:D51" si="0">"P"&amp;C3&amp;"R"</f>
        <v>P37R</v>
      </c>
      <c r="F3" t="s">
        <v>27</v>
      </c>
      <c r="I3" t="s">
        <v>28</v>
      </c>
      <c r="J3" t="s">
        <v>20</v>
      </c>
      <c r="K3" t="s">
        <v>29</v>
      </c>
      <c r="L3" s="1" t="s">
        <v>30</v>
      </c>
      <c r="M3" t="s">
        <v>31</v>
      </c>
      <c r="N3" t="s">
        <v>26</v>
      </c>
      <c r="P3" t="s">
        <v>32</v>
      </c>
    </row>
    <row r="4" spans="1:16">
      <c r="A4" t="s">
        <v>33</v>
      </c>
      <c r="B4" t="s">
        <v>34</v>
      </c>
      <c r="C4">
        <v>38</v>
      </c>
      <c r="D4" t="str">
        <f t="shared" si="0"/>
        <v>P38R</v>
      </c>
      <c r="E4" t="str">
        <f t="shared" ref="E4:E51" si="1">"P"&amp;C4&amp;"T"</f>
        <v>P38T</v>
      </c>
      <c r="F4" t="s">
        <v>35</v>
      </c>
      <c r="G4" t="s">
        <v>36</v>
      </c>
      <c r="I4" t="s">
        <v>37</v>
      </c>
      <c r="J4" t="s">
        <v>38</v>
      </c>
      <c r="K4" t="s">
        <v>38</v>
      </c>
      <c r="L4" s="1" t="s">
        <v>22</v>
      </c>
      <c r="M4" s="1" t="s">
        <v>39</v>
      </c>
      <c r="N4" t="s">
        <v>34</v>
      </c>
      <c r="O4" s="2" t="s">
        <v>40</v>
      </c>
      <c r="P4" t="s">
        <v>41</v>
      </c>
    </row>
    <row r="5" spans="1:16">
      <c r="A5" t="s">
        <v>42</v>
      </c>
      <c r="B5" t="s">
        <v>43</v>
      </c>
      <c r="C5">
        <v>41</v>
      </c>
      <c r="D5" t="str">
        <f t="shared" si="0"/>
        <v>P41R</v>
      </c>
      <c r="E5" t="str">
        <f t="shared" si="1"/>
        <v>P41T</v>
      </c>
      <c r="F5" t="s">
        <v>44</v>
      </c>
      <c r="G5" t="s">
        <v>45</v>
      </c>
      <c r="I5" t="s">
        <v>46</v>
      </c>
      <c r="J5" t="s">
        <v>20</v>
      </c>
      <c r="K5" t="s">
        <v>29</v>
      </c>
      <c r="L5" s="1" t="s">
        <v>47</v>
      </c>
      <c r="M5" t="s">
        <v>48</v>
      </c>
      <c r="N5" t="s">
        <v>43</v>
      </c>
      <c r="O5" t="s">
        <v>49</v>
      </c>
      <c r="P5" t="s">
        <v>50</v>
      </c>
    </row>
    <row r="6" spans="1:16">
      <c r="A6" t="s">
        <v>51</v>
      </c>
      <c r="B6" t="s">
        <v>52</v>
      </c>
      <c r="C6">
        <v>42</v>
      </c>
      <c r="D6" t="str">
        <f t="shared" si="0"/>
        <v>P42R</v>
      </c>
      <c r="E6" t="str">
        <f t="shared" si="1"/>
        <v>P42T</v>
      </c>
      <c r="F6" t="s">
        <v>53</v>
      </c>
      <c r="G6" t="s">
        <v>54</v>
      </c>
      <c r="I6" t="s">
        <v>55</v>
      </c>
      <c r="J6" t="s">
        <v>20</v>
      </c>
      <c r="K6" t="s">
        <v>29</v>
      </c>
      <c r="L6" s="1" t="s">
        <v>47</v>
      </c>
      <c r="M6" s="3" t="s">
        <v>56</v>
      </c>
      <c r="N6" t="s">
        <v>52</v>
      </c>
      <c r="O6" t="s">
        <v>57</v>
      </c>
      <c r="P6" t="s">
        <v>58</v>
      </c>
    </row>
    <row r="7" spans="1:16">
      <c r="A7" t="s">
        <v>59</v>
      </c>
      <c r="B7" t="s">
        <v>60</v>
      </c>
      <c r="C7">
        <v>43</v>
      </c>
      <c r="D7" t="str">
        <f t="shared" si="0"/>
        <v>P43R</v>
      </c>
      <c r="E7" t="str">
        <f t="shared" si="1"/>
        <v>P43T</v>
      </c>
      <c r="F7" t="s">
        <v>61</v>
      </c>
      <c r="G7" t="s">
        <v>62</v>
      </c>
      <c r="I7" t="s">
        <v>63</v>
      </c>
      <c r="J7" t="s">
        <v>38</v>
      </c>
      <c r="K7" t="s">
        <v>38</v>
      </c>
      <c r="L7" s="1" t="s">
        <v>64</v>
      </c>
      <c r="M7" s="1" t="s">
        <v>65</v>
      </c>
      <c r="N7" t="s">
        <v>60</v>
      </c>
      <c r="O7" t="s">
        <v>66</v>
      </c>
      <c r="P7" t="s">
        <v>67</v>
      </c>
    </row>
    <row r="8" spans="1:16">
      <c r="A8" t="s">
        <v>68</v>
      </c>
      <c r="B8" t="s">
        <v>69</v>
      </c>
      <c r="C8">
        <v>47</v>
      </c>
      <c r="D8" t="str">
        <f t="shared" si="0"/>
        <v>P47R</v>
      </c>
      <c r="E8" t="str">
        <f t="shared" si="1"/>
        <v>P47T</v>
      </c>
      <c r="F8" t="s">
        <v>70</v>
      </c>
      <c r="G8" t="s">
        <v>71</v>
      </c>
      <c r="I8" t="s">
        <v>72</v>
      </c>
      <c r="J8" t="s">
        <v>20</v>
      </c>
      <c r="K8" t="s">
        <v>21</v>
      </c>
      <c r="L8" s="1" t="s">
        <v>22</v>
      </c>
      <c r="M8" s="1" t="s">
        <v>73</v>
      </c>
      <c r="N8" t="s">
        <v>69</v>
      </c>
      <c r="O8" t="s">
        <v>74</v>
      </c>
      <c r="P8" t="s">
        <v>75</v>
      </c>
    </row>
    <row r="9" spans="1:16">
      <c r="A9" t="s">
        <v>76</v>
      </c>
      <c r="B9" t="s">
        <v>77</v>
      </c>
      <c r="C9">
        <v>49</v>
      </c>
      <c r="D9" t="str">
        <f t="shared" si="0"/>
        <v>P49R</v>
      </c>
      <c r="F9" t="s">
        <v>78</v>
      </c>
      <c r="I9" t="s">
        <v>79</v>
      </c>
      <c r="J9" t="s">
        <v>38</v>
      </c>
      <c r="K9" t="s">
        <v>38</v>
      </c>
      <c r="L9" s="1" t="s">
        <v>22</v>
      </c>
      <c r="M9" s="1" t="s">
        <v>80</v>
      </c>
      <c r="N9" t="s">
        <v>77</v>
      </c>
      <c r="P9" t="s">
        <v>81</v>
      </c>
    </row>
    <row r="10" spans="1:16">
      <c r="A10" t="s">
        <v>82</v>
      </c>
      <c r="B10" t="s">
        <v>83</v>
      </c>
      <c r="C10">
        <v>2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20</v>
      </c>
      <c r="K10" t="s">
        <v>21</v>
      </c>
      <c r="L10" t="s">
        <v>90</v>
      </c>
      <c r="M10" s="3" t="s">
        <v>91</v>
      </c>
      <c r="N10" s="11" t="s">
        <v>83</v>
      </c>
      <c r="O10" s="2" t="s">
        <v>92</v>
      </c>
      <c r="P10" t="s">
        <v>93</v>
      </c>
    </row>
    <row r="11" spans="1:16">
      <c r="A11" t="s">
        <v>94</v>
      </c>
      <c r="B11" t="s">
        <v>95</v>
      </c>
      <c r="C11">
        <v>20</v>
      </c>
      <c r="D11" t="str">
        <f t="shared" si="0"/>
        <v>P20R</v>
      </c>
      <c r="F11" t="s">
        <v>96</v>
      </c>
      <c r="I11" t="s">
        <v>97</v>
      </c>
      <c r="J11" t="s">
        <v>20</v>
      </c>
      <c r="K11" t="s">
        <v>38</v>
      </c>
      <c r="L11" s="1" t="s">
        <v>98</v>
      </c>
      <c r="N11" t="s">
        <v>99</v>
      </c>
      <c r="P11" s="11" t="s">
        <v>97</v>
      </c>
    </row>
    <row r="12" spans="1:16">
      <c r="A12" t="s">
        <v>100</v>
      </c>
      <c r="B12" t="s">
        <v>101</v>
      </c>
      <c r="C12">
        <v>22</v>
      </c>
      <c r="D12" t="str">
        <f t="shared" si="0"/>
        <v>P22R</v>
      </c>
      <c r="F12" t="s">
        <v>102</v>
      </c>
      <c r="I12" t="s">
        <v>103</v>
      </c>
      <c r="J12" t="s">
        <v>38</v>
      </c>
      <c r="K12" t="s">
        <v>38</v>
      </c>
      <c r="L12" s="1" t="s">
        <v>22</v>
      </c>
      <c r="M12" t="s">
        <v>104</v>
      </c>
      <c r="N12" t="s">
        <v>105</v>
      </c>
      <c r="P12" s="12" t="s">
        <v>106</v>
      </c>
    </row>
    <row r="13" spans="1:16">
      <c r="A13" t="s">
        <v>107</v>
      </c>
      <c r="B13" t="s">
        <v>108</v>
      </c>
      <c r="C13">
        <v>23</v>
      </c>
      <c r="E13" t="str">
        <f t="shared" si="1"/>
        <v>P23T</v>
      </c>
      <c r="G13" t="s">
        <v>109</v>
      </c>
      <c r="I13" t="s">
        <v>110</v>
      </c>
      <c r="J13" t="s">
        <v>20</v>
      </c>
      <c r="K13" t="s">
        <v>38</v>
      </c>
      <c r="L13" s="1" t="s">
        <v>111</v>
      </c>
      <c r="M13" s="1" t="s">
        <v>112</v>
      </c>
      <c r="O13" t="s">
        <v>113</v>
      </c>
      <c r="P13" t="s">
        <v>108</v>
      </c>
    </row>
    <row r="14" spans="1:16">
      <c r="A14" t="s">
        <v>114</v>
      </c>
      <c r="B14" t="s">
        <v>115</v>
      </c>
      <c r="C14">
        <v>26</v>
      </c>
      <c r="D14" t="str">
        <f t="shared" si="0"/>
        <v>P26R</v>
      </c>
      <c r="E14" t="str">
        <f t="shared" si="1"/>
        <v>P26T</v>
      </c>
      <c r="F14" t="s">
        <v>116</v>
      </c>
      <c r="G14" t="s">
        <v>117</v>
      </c>
      <c r="I14" t="s">
        <v>118</v>
      </c>
      <c r="J14" t="s">
        <v>20</v>
      </c>
      <c r="K14" t="s">
        <v>29</v>
      </c>
      <c r="L14" s="1" t="s">
        <v>22</v>
      </c>
      <c r="M14" t="s">
        <v>104</v>
      </c>
      <c r="N14" t="s">
        <v>119</v>
      </c>
      <c r="O14" t="s">
        <v>120</v>
      </c>
      <c r="P14" s="11" t="s">
        <v>118</v>
      </c>
    </row>
    <row r="15" spans="1:16">
      <c r="A15" t="s">
        <v>121</v>
      </c>
      <c r="B15" t="s">
        <v>122</v>
      </c>
      <c r="C15">
        <v>27</v>
      </c>
      <c r="D15" t="str">
        <f t="shared" si="0"/>
        <v>P27R</v>
      </c>
      <c r="F15" t="s">
        <v>123</v>
      </c>
      <c r="I15" t="s">
        <v>124</v>
      </c>
      <c r="J15" t="s">
        <v>38</v>
      </c>
      <c r="K15" t="s">
        <v>38</v>
      </c>
      <c r="L15" s="1" t="s">
        <v>22</v>
      </c>
      <c r="M15" t="s">
        <v>125</v>
      </c>
      <c r="N15" t="s">
        <v>126</v>
      </c>
      <c r="P15" s="11" t="s">
        <v>124</v>
      </c>
    </row>
    <row r="16" spans="1:16">
      <c r="A16" t="s">
        <v>127</v>
      </c>
      <c r="B16" t="s">
        <v>128</v>
      </c>
      <c r="C16">
        <v>35</v>
      </c>
      <c r="D16" t="str">
        <f t="shared" si="0"/>
        <v>P35R</v>
      </c>
      <c r="F16" t="s">
        <v>129</v>
      </c>
      <c r="I16" t="s">
        <v>130</v>
      </c>
      <c r="J16" t="s">
        <v>38</v>
      </c>
      <c r="K16" t="s">
        <v>38</v>
      </c>
      <c r="L16" s="1" t="s">
        <v>22</v>
      </c>
      <c r="M16" t="s">
        <v>104</v>
      </c>
      <c r="N16" s="4" t="s">
        <v>128</v>
      </c>
      <c r="P16" s="5" t="s">
        <v>131</v>
      </c>
    </row>
    <row r="17" spans="1:16">
      <c r="A17" t="s">
        <v>132</v>
      </c>
      <c r="B17" t="s">
        <v>133</v>
      </c>
      <c r="C17">
        <v>36</v>
      </c>
      <c r="D17" t="str">
        <f t="shared" si="0"/>
        <v>P36R</v>
      </c>
      <c r="E17" t="str">
        <f t="shared" si="1"/>
        <v>P36T</v>
      </c>
      <c r="F17" t="s">
        <v>134</v>
      </c>
      <c r="G17" t="s">
        <v>135</v>
      </c>
      <c r="I17" t="s">
        <v>136</v>
      </c>
      <c r="J17" t="s">
        <v>20</v>
      </c>
      <c r="K17" t="s">
        <v>29</v>
      </c>
      <c r="L17" s="1" t="s">
        <v>22</v>
      </c>
      <c r="M17" t="s">
        <v>137</v>
      </c>
      <c r="N17" t="s">
        <v>133</v>
      </c>
      <c r="O17" t="s">
        <v>138</v>
      </c>
      <c r="P17" t="s">
        <v>139</v>
      </c>
    </row>
    <row r="18" spans="1:16">
      <c r="A18" t="s">
        <v>140</v>
      </c>
      <c r="B18" t="s">
        <v>141</v>
      </c>
      <c r="C18">
        <v>40</v>
      </c>
      <c r="D18" t="str">
        <f t="shared" si="0"/>
        <v>P40R</v>
      </c>
      <c r="F18" t="s">
        <v>142</v>
      </c>
      <c r="I18" t="s">
        <v>143</v>
      </c>
      <c r="J18" t="s">
        <v>38</v>
      </c>
      <c r="K18" t="s">
        <v>38</v>
      </c>
      <c r="L18" s="1" t="s">
        <v>22</v>
      </c>
      <c r="M18" t="s">
        <v>104</v>
      </c>
      <c r="N18" t="s">
        <v>141</v>
      </c>
      <c r="P18" t="s">
        <v>144</v>
      </c>
    </row>
    <row r="19" spans="1:16">
      <c r="A19" t="s">
        <v>145</v>
      </c>
      <c r="B19" t="s">
        <v>146</v>
      </c>
      <c r="C19">
        <v>44</v>
      </c>
      <c r="D19" t="str">
        <f t="shared" si="0"/>
        <v>P44R</v>
      </c>
      <c r="E19" t="str">
        <f t="shared" si="1"/>
        <v>P44T</v>
      </c>
      <c r="F19" t="s">
        <v>147</v>
      </c>
      <c r="G19" t="s">
        <v>148</v>
      </c>
      <c r="I19" t="s">
        <v>149</v>
      </c>
      <c r="J19" t="s">
        <v>38</v>
      </c>
      <c r="K19" t="s">
        <v>38</v>
      </c>
      <c r="L19" s="1" t="s">
        <v>22</v>
      </c>
      <c r="M19" s="1" t="s">
        <v>112</v>
      </c>
      <c r="N19" t="s">
        <v>146</v>
      </c>
      <c r="O19" s="2" t="s">
        <v>150</v>
      </c>
      <c r="P19" t="s">
        <v>151</v>
      </c>
    </row>
    <row r="20" spans="1:16">
      <c r="A20" t="s">
        <v>152</v>
      </c>
      <c r="B20" t="s">
        <v>153</v>
      </c>
      <c r="C20">
        <v>7</v>
      </c>
      <c r="D20" t="s">
        <v>154</v>
      </c>
      <c r="E20" t="s">
        <v>155</v>
      </c>
      <c r="F20" t="s">
        <v>156</v>
      </c>
      <c r="G20" t="s">
        <v>157</v>
      </c>
      <c r="I20" t="s">
        <v>158</v>
      </c>
      <c r="J20" t="s">
        <v>20</v>
      </c>
      <c r="K20" t="s">
        <v>29</v>
      </c>
      <c r="L20" s="1" t="s">
        <v>22</v>
      </c>
      <c r="M20" s="1" t="s">
        <v>159</v>
      </c>
      <c r="N20" t="s">
        <v>153</v>
      </c>
      <c r="O20" t="s">
        <v>160</v>
      </c>
      <c r="P20" s="6" t="s">
        <v>161</v>
      </c>
    </row>
    <row r="21" spans="1:16">
      <c r="A21" t="s">
        <v>162</v>
      </c>
      <c r="B21" t="s">
        <v>163</v>
      </c>
      <c r="C21">
        <v>45</v>
      </c>
      <c r="D21" t="str">
        <f t="shared" si="0"/>
        <v>P45R</v>
      </c>
      <c r="E21" t="str">
        <f t="shared" si="1"/>
        <v>P45T</v>
      </c>
      <c r="F21" t="s">
        <v>164</v>
      </c>
      <c r="G21" t="s">
        <v>165</v>
      </c>
      <c r="I21" t="s">
        <v>166</v>
      </c>
      <c r="J21" t="s">
        <v>20</v>
      </c>
      <c r="K21" t="s">
        <v>29</v>
      </c>
      <c r="L21" s="1" t="s">
        <v>22</v>
      </c>
      <c r="M21" t="s">
        <v>137</v>
      </c>
      <c r="N21" t="s">
        <v>163</v>
      </c>
      <c r="O21" t="s">
        <v>167</v>
      </c>
      <c r="P21" t="s">
        <v>168</v>
      </c>
    </row>
    <row r="22" spans="1:16">
      <c r="A22" t="s">
        <v>169</v>
      </c>
      <c r="B22" t="s">
        <v>170</v>
      </c>
      <c r="C22">
        <v>51</v>
      </c>
      <c r="D22" t="str">
        <f t="shared" si="0"/>
        <v>P51R</v>
      </c>
      <c r="E22" t="str">
        <f t="shared" si="1"/>
        <v>P51T</v>
      </c>
      <c r="F22" t="s">
        <v>171</v>
      </c>
      <c r="G22" t="s">
        <v>172</v>
      </c>
      <c r="I22" t="s">
        <v>173</v>
      </c>
      <c r="J22" t="s">
        <v>20</v>
      </c>
      <c r="K22" t="s">
        <v>29</v>
      </c>
      <c r="L22" s="1" t="s">
        <v>174</v>
      </c>
      <c r="M22" s="1" t="s">
        <v>175</v>
      </c>
      <c r="N22" t="s">
        <v>170</v>
      </c>
      <c r="O22" t="s">
        <v>176</v>
      </c>
      <c r="P22" t="s">
        <v>177</v>
      </c>
    </row>
    <row r="23" spans="1:16">
      <c r="A23" t="s">
        <v>178</v>
      </c>
      <c r="B23" t="s">
        <v>179</v>
      </c>
      <c r="C23">
        <v>50</v>
      </c>
      <c r="J23" t="s">
        <v>20</v>
      </c>
      <c r="K23" t="s">
        <v>29</v>
      </c>
      <c r="L23" s="1" t="s">
        <v>22</v>
      </c>
      <c r="M23" s="1" t="s">
        <v>180</v>
      </c>
    </row>
    <row r="24" spans="1:16">
      <c r="A24" t="s">
        <v>181</v>
      </c>
      <c r="B24" t="s">
        <v>182</v>
      </c>
      <c r="C24">
        <v>9</v>
      </c>
      <c r="J24" t="s">
        <v>38</v>
      </c>
      <c r="K24" t="s">
        <v>38</v>
      </c>
      <c r="L24" s="1" t="s">
        <v>22</v>
      </c>
      <c r="M24" s="1" t="s">
        <v>183</v>
      </c>
    </row>
    <row r="25" spans="1:16">
      <c r="A25" t="s">
        <v>184</v>
      </c>
      <c r="B25" t="s">
        <v>185</v>
      </c>
      <c r="C25">
        <v>11</v>
      </c>
      <c r="D25" t="str">
        <f t="shared" si="0"/>
        <v>P11R</v>
      </c>
      <c r="E25" t="str">
        <f t="shared" si="1"/>
        <v>P11T</v>
      </c>
      <c r="F25" t="s">
        <v>186</v>
      </c>
      <c r="G25" t="s">
        <v>187</v>
      </c>
      <c r="I25" t="s">
        <v>188</v>
      </c>
      <c r="J25" t="s">
        <v>20</v>
      </c>
      <c r="K25" t="s">
        <v>29</v>
      </c>
      <c r="L25" s="1" t="s">
        <v>189</v>
      </c>
      <c r="M25" t="s">
        <v>190</v>
      </c>
      <c r="N25" s="4" t="s">
        <v>185</v>
      </c>
      <c r="O25" t="s">
        <v>191</v>
      </c>
      <c r="P25" s="6" t="s">
        <v>192</v>
      </c>
    </row>
    <row r="26" spans="1:16">
      <c r="A26" t="s">
        <v>193</v>
      </c>
      <c r="B26" t="s">
        <v>194</v>
      </c>
      <c r="C26">
        <v>14</v>
      </c>
      <c r="J26" t="s">
        <v>20</v>
      </c>
      <c r="K26" t="s">
        <v>38</v>
      </c>
      <c r="L26" s="1" t="s">
        <v>195</v>
      </c>
    </row>
    <row r="27" spans="1:16">
      <c r="A27" t="s">
        <v>196</v>
      </c>
      <c r="B27" t="s">
        <v>197</v>
      </c>
      <c r="C27">
        <v>17</v>
      </c>
      <c r="D27" t="str">
        <f t="shared" si="0"/>
        <v>P17R</v>
      </c>
      <c r="F27" t="s">
        <v>198</v>
      </c>
      <c r="I27" t="s">
        <v>199</v>
      </c>
      <c r="J27" t="s">
        <v>38</v>
      </c>
      <c r="K27" t="s">
        <v>38</v>
      </c>
      <c r="L27" s="1" t="s">
        <v>22</v>
      </c>
      <c r="M27" t="s">
        <v>200</v>
      </c>
      <c r="N27" t="s">
        <v>197</v>
      </c>
      <c r="P27" t="s">
        <v>201</v>
      </c>
    </row>
    <row r="28" spans="1:16">
      <c r="A28" t="s">
        <v>202</v>
      </c>
      <c r="B28" t="s">
        <v>203</v>
      </c>
      <c r="C28">
        <v>18</v>
      </c>
      <c r="D28" t="str">
        <f t="shared" si="0"/>
        <v>P18R</v>
      </c>
      <c r="F28" t="s">
        <v>204</v>
      </c>
      <c r="H28" t="s">
        <v>205</v>
      </c>
      <c r="I28" t="s">
        <v>206</v>
      </c>
      <c r="J28" t="s">
        <v>20</v>
      </c>
      <c r="K28" t="s">
        <v>38</v>
      </c>
      <c r="L28" s="1" t="s">
        <v>207</v>
      </c>
      <c r="N28" s="11" t="s">
        <v>203</v>
      </c>
      <c r="P28" s="12" t="s">
        <v>208</v>
      </c>
    </row>
    <row r="29" spans="1:16">
      <c r="A29" t="s">
        <v>209</v>
      </c>
      <c r="B29" t="s">
        <v>210</v>
      </c>
      <c r="C29">
        <v>19</v>
      </c>
      <c r="D29" t="str">
        <f t="shared" si="0"/>
        <v>P19R</v>
      </c>
      <c r="F29" t="s">
        <v>211</v>
      </c>
      <c r="I29" t="s">
        <v>212</v>
      </c>
      <c r="J29" t="s">
        <v>38</v>
      </c>
      <c r="K29" t="s">
        <v>38</v>
      </c>
      <c r="L29" s="1" t="s">
        <v>22</v>
      </c>
      <c r="M29" s="1" t="s">
        <v>104</v>
      </c>
      <c r="N29" s="4" t="s">
        <v>210</v>
      </c>
      <c r="P29" t="s">
        <v>213</v>
      </c>
    </row>
    <row r="30" spans="1:16">
      <c r="A30" t="s">
        <v>214</v>
      </c>
      <c r="B30" t="s">
        <v>215</v>
      </c>
      <c r="C30">
        <v>21</v>
      </c>
      <c r="D30" t="str">
        <f t="shared" si="0"/>
        <v>P21R</v>
      </c>
      <c r="F30" t="s">
        <v>216</v>
      </c>
      <c r="I30" t="s">
        <v>217</v>
      </c>
      <c r="J30" t="s">
        <v>20</v>
      </c>
      <c r="K30" t="s">
        <v>218</v>
      </c>
      <c r="L30" s="1" t="s">
        <v>22</v>
      </c>
      <c r="M30" s="1" t="s">
        <v>219</v>
      </c>
      <c r="N30" s="2" t="s">
        <v>220</v>
      </c>
      <c r="P30" s="12" t="s">
        <v>221</v>
      </c>
    </row>
    <row r="31" spans="1:16" ht="15.95" customHeight="1">
      <c r="A31" t="s">
        <v>222</v>
      </c>
      <c r="B31" t="s">
        <v>223</v>
      </c>
      <c r="C31">
        <v>1</v>
      </c>
      <c r="J31" t="s">
        <v>20</v>
      </c>
      <c r="K31" t="s">
        <v>29</v>
      </c>
      <c r="L31" t="s">
        <v>22</v>
      </c>
      <c r="M31" s="7" t="s">
        <v>224</v>
      </c>
    </row>
    <row r="32" spans="1:16">
      <c r="A32" t="s">
        <v>225</v>
      </c>
      <c r="B32" t="s">
        <v>226</v>
      </c>
      <c r="C32">
        <v>29</v>
      </c>
      <c r="D32" t="str">
        <f t="shared" si="0"/>
        <v>P29R</v>
      </c>
      <c r="F32" t="s">
        <v>227</v>
      </c>
      <c r="I32" t="s">
        <v>228</v>
      </c>
      <c r="J32" t="s">
        <v>20</v>
      </c>
      <c r="K32" t="s">
        <v>29</v>
      </c>
      <c r="L32" s="1" t="s">
        <v>229</v>
      </c>
      <c r="M32" s="1" t="s">
        <v>230</v>
      </c>
      <c r="N32" t="s">
        <v>231</v>
      </c>
      <c r="P32" s="11" t="s">
        <v>228</v>
      </c>
    </row>
    <row r="33" spans="1:16" ht="15.95" customHeight="1">
      <c r="A33" t="s">
        <v>232</v>
      </c>
      <c r="B33" t="s">
        <v>233</v>
      </c>
      <c r="C33">
        <v>31</v>
      </c>
      <c r="D33" t="str">
        <f t="shared" si="0"/>
        <v>P31R</v>
      </c>
      <c r="E33" t="str">
        <f t="shared" si="1"/>
        <v>P31T</v>
      </c>
      <c r="F33" t="s">
        <v>234</v>
      </c>
      <c r="G33" t="s">
        <v>235</v>
      </c>
      <c r="I33" t="s">
        <v>236</v>
      </c>
      <c r="J33" t="s">
        <v>20</v>
      </c>
      <c r="K33" t="s">
        <v>218</v>
      </c>
      <c r="L33" s="1" t="s">
        <v>237</v>
      </c>
      <c r="M33" s="1" t="s">
        <v>238</v>
      </c>
      <c r="N33" t="s">
        <v>239</v>
      </c>
      <c r="O33" t="s">
        <v>240</v>
      </c>
      <c r="P33" s="11" t="s">
        <v>236</v>
      </c>
    </row>
    <row r="34" spans="1:16">
      <c r="A34" t="s">
        <v>241</v>
      </c>
      <c r="B34" t="s">
        <v>242</v>
      </c>
      <c r="C34">
        <v>32</v>
      </c>
      <c r="D34" t="str">
        <f t="shared" si="0"/>
        <v>P32R</v>
      </c>
      <c r="E34" t="str">
        <f t="shared" si="1"/>
        <v>P32T</v>
      </c>
      <c r="F34" t="s">
        <v>243</v>
      </c>
      <c r="G34" t="s">
        <v>244</v>
      </c>
      <c r="I34" t="s">
        <v>245</v>
      </c>
      <c r="J34" t="s">
        <v>20</v>
      </c>
      <c r="K34" t="s">
        <v>21</v>
      </c>
      <c r="L34" s="1" t="s">
        <v>246</v>
      </c>
      <c r="M34" t="s">
        <v>247</v>
      </c>
      <c r="N34" t="s">
        <v>248</v>
      </c>
      <c r="O34" t="s">
        <v>249</v>
      </c>
      <c r="P34" s="10" t="s">
        <v>245</v>
      </c>
    </row>
    <row r="35" spans="1:16">
      <c r="A35" t="s">
        <v>250</v>
      </c>
      <c r="B35" t="s">
        <v>251</v>
      </c>
      <c r="C35">
        <v>46</v>
      </c>
      <c r="D35" t="str">
        <f t="shared" si="0"/>
        <v>P46R</v>
      </c>
      <c r="F35" t="s">
        <v>252</v>
      </c>
      <c r="I35" t="s">
        <v>253</v>
      </c>
      <c r="J35" t="s">
        <v>20</v>
      </c>
      <c r="K35" t="s">
        <v>21</v>
      </c>
      <c r="L35" s="1" t="s">
        <v>22</v>
      </c>
      <c r="M35" t="s">
        <v>254</v>
      </c>
      <c r="N35" t="s">
        <v>255</v>
      </c>
      <c r="P35" s="10" t="s">
        <v>253</v>
      </c>
    </row>
    <row r="36" spans="1:16">
      <c r="A36" t="s">
        <v>256</v>
      </c>
      <c r="B36" t="s">
        <v>257</v>
      </c>
      <c r="C36">
        <v>3</v>
      </c>
      <c r="D36" t="s">
        <v>258</v>
      </c>
      <c r="F36" t="s">
        <v>259</v>
      </c>
      <c r="I36" t="s">
        <v>260</v>
      </c>
      <c r="J36" t="s">
        <v>20</v>
      </c>
      <c r="K36" t="s">
        <v>21</v>
      </c>
      <c r="L36" s="1" t="s">
        <v>261</v>
      </c>
      <c r="M36" s="1" t="s">
        <v>262</v>
      </c>
      <c r="N36" t="s">
        <v>257</v>
      </c>
      <c r="P36" t="s">
        <v>263</v>
      </c>
    </row>
    <row r="37" spans="1:16">
      <c r="A37" t="s">
        <v>264</v>
      </c>
      <c r="B37" t="s">
        <v>265</v>
      </c>
      <c r="C37">
        <v>6</v>
      </c>
      <c r="D37" t="s">
        <v>266</v>
      </c>
      <c r="E37" t="s">
        <v>267</v>
      </c>
      <c r="F37" t="s">
        <v>268</v>
      </c>
      <c r="G37" s="6" t="s">
        <v>269</v>
      </c>
      <c r="H37" s="6"/>
      <c r="I37" t="s">
        <v>270</v>
      </c>
      <c r="J37" t="s">
        <v>38</v>
      </c>
      <c r="K37" t="s">
        <v>38</v>
      </c>
      <c r="L37" s="1" t="s">
        <v>22</v>
      </c>
      <c r="M37" s="1" t="s">
        <v>271</v>
      </c>
      <c r="N37" t="s">
        <v>265</v>
      </c>
      <c r="O37" s="6" t="s">
        <v>272</v>
      </c>
      <c r="P37" t="s">
        <v>273</v>
      </c>
    </row>
    <row r="38" spans="1:16">
      <c r="A38" t="s">
        <v>274</v>
      </c>
      <c r="B38" t="s">
        <v>275</v>
      </c>
      <c r="C38">
        <v>10</v>
      </c>
      <c r="D38" t="str">
        <f t="shared" si="0"/>
        <v>P10R</v>
      </c>
      <c r="F38" t="s">
        <v>276</v>
      </c>
      <c r="I38" t="s">
        <v>277</v>
      </c>
      <c r="J38" t="s">
        <v>20</v>
      </c>
      <c r="K38" t="s">
        <v>29</v>
      </c>
      <c r="L38" s="1" t="s">
        <v>22</v>
      </c>
      <c r="M38" s="1" t="s">
        <v>278</v>
      </c>
      <c r="N38" s="13" t="s">
        <v>279</v>
      </c>
      <c r="P38" t="s">
        <v>279</v>
      </c>
    </row>
    <row r="39" spans="1:16">
      <c r="A39" t="s">
        <v>280</v>
      </c>
      <c r="B39" t="s">
        <v>281</v>
      </c>
      <c r="C39">
        <v>13</v>
      </c>
      <c r="D39" t="str">
        <f t="shared" si="0"/>
        <v>P13R</v>
      </c>
      <c r="E39" t="str">
        <f t="shared" si="1"/>
        <v>P13T</v>
      </c>
      <c r="F39" t="s">
        <v>282</v>
      </c>
      <c r="G39" t="s">
        <v>283</v>
      </c>
      <c r="I39" t="s">
        <v>284</v>
      </c>
      <c r="J39" t="s">
        <v>20</v>
      </c>
      <c r="K39" t="s">
        <v>38</v>
      </c>
      <c r="L39" s="1" t="s">
        <v>285</v>
      </c>
      <c r="M39" s="1"/>
      <c r="N39" t="s">
        <v>281</v>
      </c>
      <c r="O39" t="s">
        <v>286</v>
      </c>
      <c r="P39" t="s">
        <v>287</v>
      </c>
    </row>
    <row r="40" spans="1:16">
      <c r="A40" t="s">
        <v>288</v>
      </c>
      <c r="B40" t="s">
        <v>289</v>
      </c>
      <c r="C40">
        <v>16</v>
      </c>
      <c r="D40" t="str">
        <f t="shared" si="0"/>
        <v>P16R</v>
      </c>
      <c r="F40" t="s">
        <v>290</v>
      </c>
      <c r="I40" t="s">
        <v>291</v>
      </c>
      <c r="J40" t="s">
        <v>20</v>
      </c>
      <c r="K40" t="s">
        <v>218</v>
      </c>
      <c r="L40" s="1" t="s">
        <v>22</v>
      </c>
      <c r="M40" s="1" t="s">
        <v>292</v>
      </c>
      <c r="N40" t="s">
        <v>289</v>
      </c>
      <c r="P40" t="s">
        <v>293</v>
      </c>
    </row>
    <row r="41" spans="1:16">
      <c r="A41" t="s">
        <v>294</v>
      </c>
      <c r="B41" t="s">
        <v>295</v>
      </c>
      <c r="C41">
        <v>15</v>
      </c>
      <c r="D41" t="str">
        <f t="shared" si="0"/>
        <v>P15R</v>
      </c>
      <c r="F41" t="s">
        <v>296</v>
      </c>
      <c r="I41" t="s">
        <v>297</v>
      </c>
      <c r="J41" t="s">
        <v>38</v>
      </c>
      <c r="K41" t="s">
        <v>38</v>
      </c>
      <c r="L41" s="1" t="s">
        <v>22</v>
      </c>
      <c r="M41" t="s">
        <v>298</v>
      </c>
      <c r="N41" s="13" t="s">
        <v>299</v>
      </c>
      <c r="P41" t="s">
        <v>299</v>
      </c>
    </row>
    <row r="42" spans="1:16">
      <c r="A42" t="s">
        <v>300</v>
      </c>
      <c r="B42" t="s">
        <v>301</v>
      </c>
      <c r="C42">
        <v>24</v>
      </c>
      <c r="D42" t="str">
        <f t="shared" si="0"/>
        <v>P24R</v>
      </c>
      <c r="F42" t="s">
        <v>302</v>
      </c>
      <c r="I42" t="s">
        <v>303</v>
      </c>
      <c r="J42" t="s">
        <v>38</v>
      </c>
      <c r="K42" t="s">
        <v>38</v>
      </c>
      <c r="L42" s="1" t="s">
        <v>22</v>
      </c>
      <c r="M42" t="s">
        <v>304</v>
      </c>
      <c r="N42" t="s">
        <v>301</v>
      </c>
      <c r="P42" t="s">
        <v>305</v>
      </c>
    </row>
    <row r="43" spans="1:16">
      <c r="A43" t="s">
        <v>306</v>
      </c>
      <c r="B43" t="s">
        <v>307</v>
      </c>
      <c r="C43">
        <v>25</v>
      </c>
      <c r="D43" t="str">
        <f t="shared" si="0"/>
        <v>P25R</v>
      </c>
      <c r="F43" t="s">
        <v>308</v>
      </c>
      <c r="I43" t="s">
        <v>309</v>
      </c>
      <c r="J43" t="s">
        <v>38</v>
      </c>
      <c r="K43" t="s">
        <v>38</v>
      </c>
      <c r="L43" s="1" t="s">
        <v>22</v>
      </c>
      <c r="M43" t="s">
        <v>310</v>
      </c>
      <c r="N43" t="s">
        <v>307</v>
      </c>
      <c r="P43" t="s">
        <v>311</v>
      </c>
    </row>
    <row r="44" spans="1:16">
      <c r="A44" t="s">
        <v>312</v>
      </c>
      <c r="B44" t="s">
        <v>313</v>
      </c>
      <c r="C44">
        <v>4</v>
      </c>
      <c r="J44" t="s">
        <v>20</v>
      </c>
      <c r="K44" t="s">
        <v>21</v>
      </c>
      <c r="L44" s="1" t="s">
        <v>314</v>
      </c>
      <c r="M44" s="1" t="s">
        <v>315</v>
      </c>
    </row>
    <row r="45" spans="1:16">
      <c r="A45" t="s">
        <v>316</v>
      </c>
      <c r="B45" t="s">
        <v>317</v>
      </c>
      <c r="C45">
        <v>12</v>
      </c>
      <c r="D45" t="str">
        <f t="shared" si="0"/>
        <v>P12R</v>
      </c>
      <c r="F45" t="s">
        <v>318</v>
      </c>
      <c r="I45" t="s">
        <v>319</v>
      </c>
      <c r="J45" t="s">
        <v>20</v>
      </c>
      <c r="K45" t="s">
        <v>218</v>
      </c>
      <c r="L45" s="1" t="s">
        <v>320</v>
      </c>
      <c r="M45" s="1" t="s">
        <v>321</v>
      </c>
      <c r="N45" s="13" t="s">
        <v>322</v>
      </c>
      <c r="P45" t="s">
        <v>323</v>
      </c>
    </row>
    <row r="46" spans="1:16">
      <c r="A46" t="s">
        <v>324</v>
      </c>
      <c r="B46" t="s">
        <v>325</v>
      </c>
      <c r="C46">
        <v>28</v>
      </c>
      <c r="D46" t="str">
        <f t="shared" si="0"/>
        <v>P28R</v>
      </c>
      <c r="E46" t="str">
        <f t="shared" si="1"/>
        <v>P28T</v>
      </c>
      <c r="F46" t="s">
        <v>326</v>
      </c>
      <c r="G46" t="s">
        <v>327</v>
      </c>
      <c r="I46" t="s">
        <v>328</v>
      </c>
      <c r="J46" t="s">
        <v>20</v>
      </c>
      <c r="K46" t="s">
        <v>29</v>
      </c>
      <c r="L46" s="1" t="s">
        <v>329</v>
      </c>
      <c r="M46" s="1" t="s">
        <v>330</v>
      </c>
      <c r="N46" t="s">
        <v>325</v>
      </c>
      <c r="O46" s="2" t="s">
        <v>331</v>
      </c>
      <c r="P46" t="s">
        <v>332</v>
      </c>
    </row>
    <row r="47" spans="1:16">
      <c r="A47" t="s">
        <v>333</v>
      </c>
      <c r="B47" t="s">
        <v>334</v>
      </c>
      <c r="C47">
        <v>33</v>
      </c>
      <c r="D47" t="str">
        <f t="shared" si="0"/>
        <v>P33R</v>
      </c>
      <c r="E47" t="str">
        <f t="shared" si="1"/>
        <v>P33T</v>
      </c>
      <c r="F47" t="s">
        <v>335</v>
      </c>
      <c r="G47" t="s">
        <v>336</v>
      </c>
      <c r="I47" t="s">
        <v>337</v>
      </c>
      <c r="J47" t="s">
        <v>20</v>
      </c>
      <c r="K47" t="s">
        <v>38</v>
      </c>
      <c r="L47" s="1" t="s">
        <v>338</v>
      </c>
      <c r="M47" s="3" t="s">
        <v>339</v>
      </c>
      <c r="N47" t="s">
        <v>334</v>
      </c>
      <c r="O47" t="s">
        <v>340</v>
      </c>
      <c r="P47" t="s">
        <v>341</v>
      </c>
    </row>
    <row r="48" spans="1:16">
      <c r="A48" t="s">
        <v>342</v>
      </c>
      <c r="B48" t="s">
        <v>343</v>
      </c>
      <c r="C48">
        <v>30</v>
      </c>
      <c r="D48" t="str">
        <f t="shared" si="0"/>
        <v>P30R</v>
      </c>
      <c r="E48" t="str">
        <f t="shared" si="1"/>
        <v>P30T</v>
      </c>
      <c r="F48" t="s">
        <v>344</v>
      </c>
      <c r="G48" t="s">
        <v>345</v>
      </c>
      <c r="I48" t="s">
        <v>346</v>
      </c>
      <c r="J48" t="s">
        <v>20</v>
      </c>
      <c r="K48" t="s">
        <v>218</v>
      </c>
      <c r="L48" s="1" t="s">
        <v>347</v>
      </c>
      <c r="M48" s="1" t="s">
        <v>348</v>
      </c>
      <c r="N48" t="s">
        <v>343</v>
      </c>
      <c r="O48" t="s">
        <v>349</v>
      </c>
      <c r="P48" t="s">
        <v>350</v>
      </c>
    </row>
    <row r="49" spans="1:16">
      <c r="A49" t="s">
        <v>351</v>
      </c>
      <c r="B49" t="s">
        <v>352</v>
      </c>
      <c r="C49">
        <v>5</v>
      </c>
      <c r="D49" t="s">
        <v>353</v>
      </c>
      <c r="F49" t="s">
        <v>354</v>
      </c>
      <c r="I49" t="s">
        <v>355</v>
      </c>
      <c r="J49" t="s">
        <v>20</v>
      </c>
      <c r="K49" t="s">
        <v>29</v>
      </c>
      <c r="L49" s="8" t="s">
        <v>356</v>
      </c>
      <c r="M49" s="8" t="s">
        <v>31</v>
      </c>
      <c r="N49" t="s">
        <v>352</v>
      </c>
      <c r="P49" s="12" t="s">
        <v>357</v>
      </c>
    </row>
    <row r="50" spans="1:16">
      <c r="A50" t="s">
        <v>358</v>
      </c>
      <c r="B50" t="s">
        <v>359</v>
      </c>
      <c r="C50">
        <v>8</v>
      </c>
      <c r="D50" t="s">
        <v>360</v>
      </c>
      <c r="F50" t="s">
        <v>361</v>
      </c>
      <c r="I50" t="s">
        <v>362</v>
      </c>
      <c r="J50" t="s">
        <v>20</v>
      </c>
      <c r="K50" t="s">
        <v>38</v>
      </c>
      <c r="L50" s="1" t="s">
        <v>363</v>
      </c>
      <c r="N50" s="4" t="s">
        <v>359</v>
      </c>
      <c r="P50" t="s">
        <v>364</v>
      </c>
    </row>
    <row r="51" spans="1:16">
      <c r="A51" t="s">
        <v>365</v>
      </c>
      <c r="B51" t="s">
        <v>366</v>
      </c>
      <c r="C51">
        <v>39</v>
      </c>
      <c r="D51" t="str">
        <f t="shared" si="0"/>
        <v>P39R</v>
      </c>
      <c r="E51" t="str">
        <f t="shared" si="1"/>
        <v>P39T</v>
      </c>
      <c r="F51" t="s">
        <v>367</v>
      </c>
      <c r="G51" t="s">
        <v>368</v>
      </c>
      <c r="I51" t="s">
        <v>369</v>
      </c>
      <c r="J51" t="s">
        <v>20</v>
      </c>
      <c r="K51" t="s">
        <v>21</v>
      </c>
      <c r="L51" s="1" t="s">
        <v>370</v>
      </c>
      <c r="M51" s="1" t="s">
        <v>112</v>
      </c>
      <c r="N51" t="s">
        <v>371</v>
      </c>
      <c r="O51" t="s">
        <v>372</v>
      </c>
      <c r="P51" s="12" t="s">
        <v>373</v>
      </c>
    </row>
    <row r="53" spans="1:16">
      <c r="A53" t="s">
        <v>374</v>
      </c>
      <c r="C53" t="s">
        <v>375</v>
      </c>
    </row>
    <row r="54" spans="1:16">
      <c r="A54" t="s">
        <v>376</v>
      </c>
      <c r="C54" s="11" t="s">
        <v>377</v>
      </c>
      <c r="D54" s="11"/>
      <c r="E54" s="11"/>
      <c r="F54" s="11"/>
      <c r="G54" s="11"/>
      <c r="H54" s="11"/>
      <c r="I54" s="11"/>
    </row>
    <row r="55" spans="1:16">
      <c r="C55" s="12" t="s">
        <v>378</v>
      </c>
      <c r="D55" s="12"/>
      <c r="E55" s="12"/>
      <c r="F55" s="12"/>
      <c r="G55" s="12"/>
      <c r="H55" s="12"/>
      <c r="I55" s="12"/>
    </row>
    <row r="56" spans="1:16">
      <c r="C56" s="9" t="s">
        <v>379</v>
      </c>
      <c r="D56" s="9"/>
      <c r="E56" s="9"/>
      <c r="F56" s="9"/>
      <c r="G56" s="9"/>
      <c r="H56" s="9"/>
      <c r="I56" s="9"/>
    </row>
    <row r="57" spans="1:16">
      <c r="C57" s="6" t="s">
        <v>380</v>
      </c>
      <c r="D57" s="6"/>
      <c r="E57" s="6"/>
      <c r="F57" s="6"/>
      <c r="G57" s="6"/>
      <c r="H57" s="6"/>
      <c r="I57" s="6"/>
    </row>
    <row r="58" spans="1:16">
      <c r="C58" s="2" t="s">
        <v>381</v>
      </c>
      <c r="D58" s="2"/>
      <c r="E58" s="2"/>
      <c r="F58" s="2"/>
      <c r="G58" s="2"/>
      <c r="H58" s="2"/>
      <c r="I58" s="2"/>
    </row>
    <row r="59" spans="1:16">
      <c r="C59" s="2" t="s">
        <v>382</v>
      </c>
      <c r="D59" s="2"/>
      <c r="E59" s="2"/>
      <c r="F59" s="2"/>
      <c r="G59" s="2"/>
      <c r="H59" s="2"/>
      <c r="I59" s="2"/>
    </row>
    <row r="60" spans="1:16">
      <c r="C60" t="s">
        <v>383</v>
      </c>
    </row>
    <row r="61" spans="1:16">
      <c r="C61" s="13" t="s">
        <v>384</v>
      </c>
      <c r="D61" s="13"/>
      <c r="E61" s="13"/>
      <c r="F61" s="13"/>
      <c r="G61" s="13"/>
      <c r="H61" s="13"/>
      <c r="I6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Geisberg</dc:creator>
  <cp:keywords/>
  <dc:description/>
  <cp:lastModifiedBy>Akiko Suzuki</cp:lastModifiedBy>
  <cp:revision/>
  <dcterms:created xsi:type="dcterms:W3CDTF">2023-12-06T15:20:25Z</dcterms:created>
  <dcterms:modified xsi:type="dcterms:W3CDTF">2025-07-17T15:14:00Z</dcterms:modified>
  <cp:category/>
  <cp:contentStatus/>
</cp:coreProperties>
</file>